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10\"/>
    </mc:Choice>
  </mc:AlternateContent>
  <xr:revisionPtr revIDLastSave="0" documentId="13_ncr:1_{D66B0E5F-AE41-4060-B689-39152E099D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G43" i="1"/>
  <c r="E43" i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G30" i="1"/>
  <c r="E30" i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D5" i="1" s="1"/>
  <c r="C46" i="1"/>
  <c r="C47" i="1" s="1"/>
  <c r="C6" i="1" s="1"/>
  <c r="D6" i="1" s="1"/>
  <c r="C72" i="1"/>
  <c r="C73" i="1" s="1"/>
  <c r="C59" i="1"/>
  <c r="C60" i="1" s="1"/>
  <c r="C85" i="1"/>
  <c r="C86" i="1" s="1"/>
  <c r="B14" i="1" l="1"/>
  <c r="B15" i="1"/>
  <c r="B16" i="1"/>
  <c r="B17" i="1"/>
  <c r="B18" i="1"/>
  <c r="B19" i="1"/>
  <c r="D13" i="1" l="1"/>
  <c r="E13" i="1" s="1"/>
  <c r="D14" i="1"/>
  <c r="E14" i="1" s="1"/>
  <c r="E15" i="1"/>
  <c r="D16" i="1"/>
  <c r="E16" i="1" s="1"/>
  <c r="E17" i="1"/>
  <c r="D18" i="1"/>
  <c r="E18" i="1" s="1"/>
  <c r="D19" i="1"/>
  <c r="E19" i="1" s="1"/>
  <c r="G17" i="1" l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<sst xmlns="http://schemas.openxmlformats.org/spreadsheetml/2006/main" count="177" uniqueCount="68">
  <si>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</si>
  <si>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</si>
  <si>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</si>
  <si>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</si>
  <si>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</si>
  <si>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</si>
  <si>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</si>
  <si>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</si>
  <si>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</si>
  <si>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</si>
  <si>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</si>
  <si>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</si>
  <si>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</si>
  <si>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</si>
  <si>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</si>
  <si>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</si>
  <si>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</si>
  <si>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</si>
  <si>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</si>
  <si>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</si>
  <si>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</si>
  <si>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</si>
  <si>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</si>
  <si>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</si>
  <si>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</si>
  <si>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</si>
  <si>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</si>
  <si>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</si>
  <si>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</si>
  <si>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</si>
  <si>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</si>
  <si>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</si>
  <si>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</si>
  <si>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</si>
  <si>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</si>
  <si>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</si>
  <si>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</si>
  <si>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</si>
  <si>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</si>
  <si>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</si>
  <si>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</si>
  <si>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</si>
  <si>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</si>
  <si>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</si>
  <si>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</si>
  <si>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</si>
  <si>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</si>
  <si>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</si>
  <si>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</si>
  <si>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</si>
  <si>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</si>
  <si>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</si>
  <si>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</si>
  <si>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</si>
  <si>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</si>
  <si>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</si>
  <si>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</si>
  <si>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</si>
  <si>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</si>
  <si>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</si>
  <si>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</si>
  <si>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</si>
  <si>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</si>
  <si>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MUJICA MENDEZ TYHARA FRANCISCA</t>
  </si>
  <si>
    <t>ORTEGA PEREZ KEVIN ALEJANDRO</t>
  </si>
  <si>
    <t>LEFIO CARRASCO ALBERTO NATANAEL JOSIAS</t>
  </si>
  <si>
    <t xml:space="preserve">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</si>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</sst>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F7" sqref="F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38" t="s">
        <v>63</v>
      </c>
      <c r="C4" s="30">
        <f>C21</f>
        <v>6.3</v>
      </c>
      <c r="D4" s="36">
        <f>C4</f>
        <v>6.3</v>
      </c>
      <c r="E4" s="35">
        <f>C4*C$2+D4*D$2</f>
        <v>6.2999999999999989</v>
      </c>
    </row>
    <row r="5" spans="1:11" x14ac:dyDescent="0.25">
      <c r="A5" s="3">
        <v>2</v>
      </c>
      <c r="B5" s="38" t="s">
        <v>64</v>
      </c>
      <c r="C5" s="30">
        <f>C34</f>
        <v>6.3</v>
      </c>
      <c r="D5" s="36">
        <f t="shared" ref="D5:D6" si="0">C5</f>
        <v>6.3</v>
      </c>
      <c r="E5" s="35">
        <f t="shared" ref="E5:E6" si="1">C5*C$2+D5*D$2</f>
        <v>6.2999999999999989</v>
      </c>
    </row>
    <row r="6" spans="1:11" x14ac:dyDescent="0.25">
      <c r="A6" s="3">
        <v>3</v>
      </c>
      <c r="B6" s="38" t="s">
        <v>65</v>
      </c>
      <c r="C6" s="30">
        <f>C47</f>
        <v>6.3</v>
      </c>
      <c r="D6" s="36">
        <f t="shared" si="0"/>
        <v>6.3</v>
      </c>
      <c r="E6" s="35">
        <f t="shared" si="1"/>
        <v>6.2999999999999989</v>
      </c>
    </row>
    <row r="8" spans="1:11" ht="15" customHeight="1" x14ac:dyDescent="0.25">
      <c r="B8" t="s">
        <v>66</v>
      </c>
    </row>
    <row r="11" spans="1:11" ht="18.75" outlineLevel="1" x14ac:dyDescent="0.25">
      <c r="A11" s="39" t="s">
        <v>4</v>
      </c>
      <c r="B11" s="11" t="str">
        <f>B4</f>
        <v>MUJICA MENDEZ TYHARA FRANCISCA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45" customHeight="1" outlineLevel="1" x14ac:dyDescent="0.25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 x14ac:dyDescent="0.25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">
        <v>66</v>
      </c>
      <c r="E15" s="12" t="str">
        <f>IF(D15="X",100*0.2,"")</f>
        <v/>
      </c>
      <c r="F15" s="12" t="s">
        <v>67</v>
      </c>
      <c r="G15" s="12">
        <f>IF(F15="X",60*0.2,"")</f>
        <v>12</v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24" outlineLevel="1" x14ac:dyDescent="0.25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 x14ac:dyDescent="0.25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">
        <v>66</v>
      </c>
      <c r="E17" s="12" t="str">
        <f>IF(D17="X",100*0.05,"")</f>
        <v/>
      </c>
      <c r="F17" s="12" t="s">
        <v>67</v>
      </c>
      <c r="G17" s="12">
        <f>IF(F17="X",60*0.05,"")</f>
        <v>3</v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36" outlineLevel="1" x14ac:dyDescent="0.25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25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3">
      <c r="A20" s="40"/>
      <c r="B20" s="17" t="s">
        <v>12</v>
      </c>
      <c r="C20" s="21">
        <f>E20+G20+I20+K20</f>
        <v>90</v>
      </c>
      <c r="D20" s="13"/>
      <c r="E20" s="13">
        <f>SUM(E13:E19)</f>
        <v>75</v>
      </c>
      <c r="F20" s="13"/>
      <c r="G20" s="13">
        <f>SUM(G13:G19)</f>
        <v>15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0" t="s">
        <v>13</v>
      </c>
      <c r="C21" s="14">
        <f>VLOOKUP(C20,ESCALA_IEP!A2:B202,2,FALSE)</f>
        <v>6.3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ORTEGA PEREZ KEVIN ALEJANDRO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25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25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">
        <v>66</v>
      </c>
      <c r="E28" s="12" t="str">
        <f>IF(D28="X",100*0.2,"")</f>
        <v/>
      </c>
      <c r="F28" s="12" t="s">
        <v>67</v>
      </c>
      <c r="G28" s="12">
        <f>IF(F28="X",60*0.2,"")</f>
        <v>12</v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25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25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">
        <v>66</v>
      </c>
      <c r="E30" s="12" t="str">
        <f>IF(D30="X",100*0.05,"")</f>
        <v/>
      </c>
      <c r="F30" s="12" t="s">
        <v>67</v>
      </c>
      <c r="G30" s="12">
        <f>IF(F30="X",60*0.05,"")</f>
        <v>3</v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25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25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3">
      <c r="A33" s="40"/>
      <c r="B33" s="17" t="s">
        <v>12</v>
      </c>
      <c r="C33" s="21">
        <f>E33+G33+I33+K33</f>
        <v>90</v>
      </c>
      <c r="D33" s="13"/>
      <c r="E33" s="13">
        <f>SUM(E26:E32)</f>
        <v>75</v>
      </c>
      <c r="F33" s="13"/>
      <c r="G33" s="13">
        <f>SUM(G26:G32)</f>
        <v>15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0" t="s">
        <v>13</v>
      </c>
      <c r="C34" s="14">
        <f>VLOOKUP(C33,ESCALA_IEP!A15:B215,2,FALSE)</f>
        <v>6.3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LEFIO CARRASCO ALBERTO NATANAEL JOSIAS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25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25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">
        <v>66</v>
      </c>
      <c r="E41" s="12" t="str">
        <f>IF(D41="X",100*0.2,"")</f>
        <v/>
      </c>
      <c r="F41" s="12" t="s">
        <v>67</v>
      </c>
      <c r="G41" s="12">
        <f>IF(F41="X",60*0.2,"")</f>
        <v>12</v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25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25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">
        <v>66</v>
      </c>
      <c r="E43" s="12" t="str">
        <f>IF(D43="X",100*0.05,"")</f>
        <v/>
      </c>
      <c r="F43" s="12" t="s">
        <v>67</v>
      </c>
      <c r="G43" s="12">
        <f>IF(F43="X",60*0.05,"")</f>
        <v>3</v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25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25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3">
      <c r="A46" s="40"/>
      <c r="B46" s="17" t="s">
        <v>12</v>
      </c>
      <c r="C46" s="21">
        <f>E46+G46+I46+K46</f>
        <v>90</v>
      </c>
      <c r="D46" s="13"/>
      <c r="E46" s="13">
        <f>SUM(E39:E45)</f>
        <v>75</v>
      </c>
      <c r="F46" s="13"/>
      <c r="G46" s="13">
        <f>SUM(G39:G45)</f>
        <v>15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0" t="s">
        <v>13</v>
      </c>
      <c r="C47" s="14">
        <f>VLOOKUP(C46,ESCALA_IEP!A28:B228,2,FALSE)</f>
        <v>6.3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MUJICA MENDEZ TYHARA FRANCISCA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4" customHeight="1" x14ac:dyDescent="0.25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8"/>
        <v>X</v>
      </c>
      <c r="E53" s="12">
        <f>IF(D53="X",100*0.25,"")</f>
        <v>25</v>
      </c>
      <c r="F53" s="12" t="str">
        <f t="shared" si="19"/>
        <v/>
      </c>
      <c r="G53" s="12" t="str">
        <f>IF(F53="X",60*0.25,"")</f>
        <v/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25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25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25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8"/>
        <v>X</v>
      </c>
      <c r="E56" s="12">
        <f>IF(D56="X",100*0.05,"")</f>
        <v>5</v>
      </c>
      <c r="F56" s="12" t="str">
        <f t="shared" si="19"/>
        <v/>
      </c>
      <c r="G56" s="12" t="str">
        <f>IF(F56="X",60*0.05,"")</f>
        <v/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4" customHeight="1" x14ac:dyDescent="0.25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25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4" customHeight="1" x14ac:dyDescent="0.3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ORTEGA PEREZ KEVIN ALEJANDRO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3">IF($C65=CL,"X","")</f>
        <v>X</v>
      </c>
      <c r="E65" s="12">
        <f>IF(D65="X",100*0.15,"")</f>
        <v>15</v>
      </c>
      <c r="F65" s="12" t="str">
        <f t="shared" ref="F65:F69" si="24">IF($C65=L,"X","")</f>
        <v/>
      </c>
      <c r="G65" s="12" t="str">
        <f>IF(F65="X",60*0.15,"")</f>
        <v/>
      </c>
      <c r="H65" s="12" t="str">
        <f t="shared" ref="H65:H69" si="25">IF($C65=ML,"X","")</f>
        <v/>
      </c>
      <c r="I65" s="12" t="str">
        <f>IF(H65="X",30*0.15,"")</f>
        <v/>
      </c>
      <c r="J65" s="12" t="str">
        <f t="shared" ref="J65:J69" si="26">IF($C65=NL,"X","")</f>
        <v/>
      </c>
      <c r="K65" s="12" t="str">
        <f t="shared" ref="K65:K71" si="27">IF($J65="X",0,"")</f>
        <v/>
      </c>
    </row>
    <row r="66" spans="1:11" ht="24" customHeight="1" x14ac:dyDescent="0.25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25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25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3"/>
        <v>X</v>
      </c>
      <c r="E68" s="12">
        <f>IF(D68="X",100*0.05,"")</f>
        <v>5</v>
      </c>
      <c r="F68" s="12" t="str">
        <f t="shared" si="24"/>
        <v/>
      </c>
      <c r="G68" s="12" t="str">
        <f>IF(F68="X",60*0.05,"")</f>
        <v/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25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25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7"/>
        <v/>
      </c>
    </row>
    <row r="71" spans="1:11" ht="24" customHeight="1" x14ac:dyDescent="0.25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7"/>
        <v/>
      </c>
    </row>
    <row r="72" spans="1:11" ht="24" customHeight="1" x14ac:dyDescent="0.3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>LEFIO CARRASCO ALBERTO NATANAEL JOSIAS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25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25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25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8"/>
        <v>X</v>
      </c>
      <c r="E81" s="12">
        <f>IF(D81="X",100*0.05,"")</f>
        <v>5</v>
      </c>
      <c r="F81" s="12" t="str">
        <f t="shared" si="29"/>
        <v/>
      </c>
      <c r="G81" s="12" t="str">
        <f>IF(F81="X",60*0.05,"")</f>
        <v/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25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25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25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3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5">
      <c r="A3" s="50"/>
      <c r="B3" s="55"/>
      <c r="C3" s="55"/>
      <c r="D3" s="26">
        <v>0.3</v>
      </c>
      <c r="E3" s="26">
        <v>0</v>
      </c>
      <c r="F3" s="50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2025-12-10T04:45:16Z</dcterms:modified>
  <cp:category/>
  <cp:contentStatus/>
</cp:coreProperties>
</file>